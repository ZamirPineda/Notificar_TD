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5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6.xml" ContentType="application/vnd.ms-excel.controlproperties+xml"/>
  <Override PartName="/xl/ctrlProps/ctrlProp2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Dncacusuge02\D\sip\Archivos Notificadores\Archivos Notificadores\Cerveceros\Proyecto\"/>
    </mc:Choice>
  </mc:AlternateContent>
  <bookViews>
    <workbookView xWindow="0" yWindow="0" windowWidth="21600" windowHeight="9630" activeTab="3"/>
  </bookViews>
  <sheets>
    <sheet name="TG" sheetId="1" r:id="rId1"/>
    <sheet name="Hoja2" sheetId="3" r:id="rId2"/>
    <sheet name="PQ" sheetId="2" r:id="rId3"/>
    <sheet name="IS" sheetId="4" r:id="rId4"/>
  </sheets>
  <definedNames>
    <definedName name="DatosExternos_1" localSheetId="1" hidden="1">Hoja2!$A$1:$M$9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4" l="1"/>
  <c r="L1" i="1" l="1"/>
  <c r="E1" i="4"/>
  <c r="F1" i="4" l="1"/>
  <c r="C2" i="4" l="1"/>
  <c r="M2" i="1"/>
  <c r="L2" i="1" l="1"/>
  <c r="N2" i="1" l="1"/>
  <c r="N1" i="1"/>
  <c r="M1" i="1"/>
  <c r="K13" i="1" l="1"/>
  <c r="L17" i="1"/>
  <c r="K2" i="1"/>
  <c r="J2" i="1"/>
</calcChain>
</file>

<file path=xl/connections.xml><?xml version="1.0" encoding="utf-8"?>
<connections xmlns="http://schemas.openxmlformats.org/spreadsheetml/2006/main">
  <connection id="1" keepAlive="1" name="Consulta - 'Inventario Tripas$'FilterDatabase" description="Conexión a la consulta ''Inventario Tripas$'FilterDatabase' en el libro." type="5" refreshedVersion="6" background="1">
    <dbPr connection="Provider=Microsoft.Mashup.OleDb.1;Data Source=$Workbook$;Location=&quot;'Inventario Tripas$'FilterDatabase&quot;;Extended Properties=&quot;&quot;" command="SELECT * FROM ['Inventario Tripas$'FilterDatabase]"/>
  </connection>
</connections>
</file>

<file path=xl/sharedStrings.xml><?xml version="1.0" encoding="utf-8"?>
<sst xmlns="http://schemas.openxmlformats.org/spreadsheetml/2006/main" count="154" uniqueCount="122">
  <si>
    <t>Fecha</t>
  </si>
  <si>
    <t>Fecha Inicio Mes</t>
  </si>
  <si>
    <t>290322</t>
  </si>
  <si>
    <t>Cantidad</t>
  </si>
  <si>
    <t>Imprimir Sticker(OP)</t>
  </si>
  <si>
    <t>Picking Manual</t>
  </si>
  <si>
    <t>Material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</si>
  <si>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</si>
  <si>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</si>
  <si>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</si>
  <si>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</si>
  <si>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</si>
  <si>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</si>
  <si>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</si>
  <si>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</si>
  <si>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</si>
  <si>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</si>
  <si>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</si>
  <si>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</si>
  <si>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</si>
  <si>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MATERIAL</t>
  </si>
  <si>
    <t>REFERENCIA</t>
  </si>
  <si>
    <t>CANTIDAD X ESTANDAR UM</t>
  </si>
  <si>
    <t>CANT. CARRETES</t>
  </si>
  <si>
    <t>TARA</t>
  </si>
  <si>
    <t>PESO CON CARRETE</t>
  </si>
  <si>
    <t>PESO NETO</t>
  </si>
  <si>
    <t>PESO UN.</t>
  </si>
  <si>
    <t>SALDO</t>
  </si>
  <si>
    <t>CANTIDAD CARRETES SALDOS</t>
  </si>
  <si>
    <t>PESO SALDOS</t>
  </si>
  <si>
    <t>CARRETES COMPLETOS</t>
  </si>
  <si>
    <t>TOTAL MATERIALES</t>
  </si>
  <si>
    <t>7000300</t>
  </si>
  <si>
    <t>Lazada 20 natural</t>
  </si>
  <si>
    <t xml:space="preserve">3.500 </t>
  </si>
  <si>
    <t>4</t>
  </si>
  <si>
    <t>0,023</t>
  </si>
  <si>
    <t>0,560</t>
  </si>
  <si>
    <t>0,537</t>
  </si>
  <si>
    <t>0,001</t>
  </si>
  <si>
    <t>0</t>
  </si>
  <si>
    <t>14000</t>
  </si>
  <si>
    <t>7004198</t>
  </si>
  <si>
    <t>Gancho MDI 1506</t>
  </si>
  <si>
    <t xml:space="preserve">9.300 </t>
  </si>
  <si>
    <t>0,539</t>
  </si>
  <si>
    <t>3,12</t>
  </si>
  <si>
    <t>2,581</t>
  </si>
  <si>
    <t>37200</t>
  </si>
  <si>
    <t>7004197</t>
  </si>
  <si>
    <t>Gancho MDI 1509</t>
  </si>
  <si>
    <t xml:space="preserve">4.700 </t>
  </si>
  <si>
    <t>26</t>
  </si>
  <si>
    <t>3,09</t>
  </si>
  <si>
    <t>2,551</t>
  </si>
  <si>
    <t>122200</t>
  </si>
  <si>
    <t>7000230</t>
  </si>
  <si>
    <t>Gancho clip 1509 5 x1.75</t>
  </si>
  <si>
    <t xml:space="preserve">5.000 </t>
  </si>
  <si>
    <t>0,42</t>
  </si>
  <si>
    <t>3,25</t>
  </si>
  <si>
    <t>2,83</t>
  </si>
  <si>
    <t>7008412</t>
  </si>
  <si>
    <t>Gancho Poly clip M07</t>
  </si>
  <si>
    <t xml:space="preserve">6.400 </t>
  </si>
  <si>
    <t>16</t>
  </si>
  <si>
    <t>3,38</t>
  </si>
  <si>
    <t>2,841</t>
  </si>
  <si>
    <t>102400</t>
  </si>
  <si>
    <t>7000227</t>
  </si>
  <si>
    <t>Gancho clip R1506 4 x1.50</t>
  </si>
  <si>
    <t xml:space="preserve">7.500 </t>
  </si>
  <si>
    <t>18</t>
  </si>
  <si>
    <t>0,432</t>
  </si>
  <si>
    <t>3,44</t>
  </si>
  <si>
    <t>3,008</t>
  </si>
  <si>
    <t>135000</t>
  </si>
  <si>
    <t>#¡DIV/0!</t>
  </si>
  <si>
    <t>0,034</t>
  </si>
  <si>
    <t>0,538</t>
  </si>
  <si>
    <t>0,504</t>
  </si>
  <si>
    <t>Consumos material</t>
  </si>
  <si>
    <t>Fecha inicio</t>
  </si>
  <si>
    <t>Fecha Fin</t>
  </si>
  <si>
    <t>01.03.22</t>
  </si>
  <si>
    <t>Notificación TD</t>
  </si>
  <si>
    <t>Ordenes</t>
  </si>
  <si>
    <t>pm_cervec</t>
  </si>
  <si>
    <t>30</t>
  </si>
  <si>
    <t>Carnes</t>
  </si>
  <si>
    <t>Condi</t>
  </si>
  <si>
    <t>En desarrollo ---</t>
  </si>
  <si>
    <t>Lista :)</t>
  </si>
  <si>
    <t>Sticker Cond</t>
  </si>
  <si>
    <t>Tripa celulosa 14 x 125</t>
  </si>
  <si>
    <t>Tripa celulosa 20 x 125</t>
  </si>
  <si>
    <t>Tripa celulosa 18x125</t>
  </si>
  <si>
    <t>Tripa celulosa 15x125</t>
  </si>
  <si>
    <t>Tripa bior salchicha imp big res</t>
  </si>
  <si>
    <t>Tripa bior salchicha imp big pollo</t>
  </si>
  <si>
    <t>Tripa Poliamida 19 x 110 XL</t>
  </si>
  <si>
    <t>Tripa celulosa 27 x 160</t>
  </si>
  <si>
    <t>Tripa celulosa ranchera 18x125</t>
  </si>
  <si>
    <t>Tripa celulosa Mini Ranchera 21x125</t>
  </si>
  <si>
    <t>Tripa celulosa ranchera 19x125</t>
  </si>
  <si>
    <t>Tripa Celulosa 23 x 160</t>
  </si>
  <si>
    <t>Tripa celulosa 21 x 125</t>
  </si>
  <si>
    <t>Tripa Celulosa 22 x 125</t>
  </si>
  <si>
    <t>Cerv Rica 700 g Ciervo</t>
  </si>
  <si>
    <t>Schon Cerv Cunit x 1 k - Ah CI TALSA</t>
  </si>
  <si>
    <t>Schon. Cerveroni ZENU x 900 g</t>
  </si>
  <si>
    <t>Schon. Cerveroni ZENU x 500 g</t>
  </si>
  <si>
    <t>Schon. Cerveroni ZENU x 1.2 kg</t>
  </si>
  <si>
    <t>Schon.Cervec.Premium. Ed Esp.ZENU x500 g</t>
  </si>
  <si>
    <t>6 Schon. Tradi. ZENU collarin x 100 g</t>
  </si>
  <si>
    <t>Schon. Tradi. ZENU x 850 g</t>
  </si>
  <si>
    <t>Schon. Ex. CUNIT x 850 g</t>
  </si>
  <si>
    <t>Schon. Cerveroni ZENU x 1000g. Gts 200 g</t>
  </si>
  <si>
    <t>Schon. RICA x 850 g</t>
  </si>
  <si>
    <t>Schon. Tradi. ZENU x 620 g</t>
  </si>
  <si>
    <t>Schon. RICA x 480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</si>
</sst>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6600"/>
      <name val="Calibri"/>
      <family val="2"/>
    </font>
    <font>
      <sz val="9"/>
      <name val="Arial"/>
      <family val="2"/>
    </font>
    <font>
      <sz val="11"/>
      <color theme="0"/>
      <name val="Calibri"/>
      <family val="2"/>
      <scheme val="minor"/>
    </font>
    <font>
      <sz val="9"/>
      <color theme="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/>
      </patternFill>
    </fill>
    <fill>
      <patternFill patternType="solid">
        <fgColor rgb="FFCCFFCC"/>
        <bgColor indexed="64"/>
      </patternFill>
    </fill>
    <fill>
      <patternFill patternType="solid">
        <fgColor theme="2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18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3" fillId="2" borderId="1" xfId="0" applyFont="1" applyFill="1" applyBorder="1" applyAlignment="1" applyProtection="1">
      <alignment horizontal="center"/>
    </xf>
    <xf numFmtId="0" fontId="4" fillId="3" borderId="0" xfId="1"/>
    <xf numFmtId="49" fontId="4" fillId="3" borderId="0" xfId="1" applyNumberFormat="1"/>
    <xf numFmtId="0" fontId="0" fillId="0" borderId="0" xfId="0" quotePrefix="1" applyNumberFormat="1"/>
    <xf numFmtId="0" fontId="0" fillId="0" borderId="0" xfId="0" applyNumberFormat="1"/>
    <xf numFmtId="0" fontId="4" fillId="3" borderId="0" xfId="1" applyAlignment="1">
      <alignment horizontal="center"/>
    </xf>
    <xf numFmtId="0" fontId="0" fillId="0" borderId="0" xfId="0" applyAlignment="1">
      <alignment horizontal="center"/>
    </xf>
    <xf numFmtId="49" fontId="4" fillId="3" borderId="0" xfId="1" applyNumberFormat="1" applyAlignment="1">
      <alignment horizontal="center"/>
    </xf>
    <xf numFmtId="0" fontId="3" fillId="4" borderId="2" xfId="0" applyFont="1" applyFill="1" applyBorder="1" applyAlignment="1" applyProtection="1">
      <alignment horizontal="left"/>
    </xf>
    <xf numFmtId="3" fontId="0" fillId="0" borderId="0" xfId="0" applyNumberFormat="1"/>
    <xf numFmtId="4" fontId="0" fillId="5" borderId="1" xfId="0" applyNumberFormat="1" applyFill="1" applyBorder="1"/>
    <xf numFmtId="0" fontId="5" fillId="0" borderId="0" xfId="0" applyFont="1" applyAlignment="1">
      <alignment vertical="top" wrapText="1"/>
    </xf>
    <xf numFmtId="0" fontId="3" fillId="4" borderId="3" xfId="0" applyFont="1" applyFill="1" applyBorder="1" applyAlignment="1" applyProtection="1">
      <alignment horizontal="left"/>
    </xf>
    <xf numFmtId="4" fontId="0" fillId="0" borderId="0" xfId="0" applyNumberFormat="1"/>
  </cellXfs>
  <cellStyles count="2">
    <cellStyle name="Énfasis6" xfId="1" builtinId="49"/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19050</xdr:rowOff>
        </xdr:from>
        <xdr:to>
          <xdr:col>2</xdr:col>
          <xdr:colOff>314325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App Sap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314325</xdr:colOff>
          <xdr:row>6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Iniciar Sesion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19050</xdr:rowOff>
        </xdr:from>
        <xdr:to>
          <xdr:col>9</xdr:col>
          <xdr:colOff>0</xdr:colOff>
          <xdr:row>2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COOISPI - 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2</xdr:col>
          <xdr:colOff>314325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Actualizar MB52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19050</xdr:rowOff>
        </xdr:from>
        <xdr:to>
          <xdr:col>8</xdr:col>
          <xdr:colOff>914400</xdr:colOff>
          <xdr:row>5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COOISPI - CN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1304925</xdr:colOff>
          <xdr:row>7</xdr:row>
          <xdr:rowOff>19050</xdr:rowOff>
        </xdr:from>
        <xdr:to>
          <xdr:col>8</xdr:col>
          <xdr:colOff>914400</xdr:colOff>
          <xdr:row>9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1 a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</xdr:row>
          <xdr:rowOff>9525</xdr:rowOff>
        </xdr:from>
        <xdr:to>
          <xdr:col>9</xdr:col>
          <xdr:colOff>9525</xdr:colOff>
          <xdr:row>14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Picking Manual 1 a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19050</xdr:rowOff>
        </xdr:from>
        <xdr:to>
          <xdr:col>6</xdr:col>
          <xdr:colOff>0</xdr:colOff>
          <xdr:row>3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Notificar TD _ 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28575</xdr:rowOff>
        </xdr:from>
        <xdr:to>
          <xdr:col>6</xdr:col>
          <xdr:colOff>0</xdr:colOff>
          <xdr:row>6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Notificar TD_21_31</a:t>
              </a:r>
            </a:p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(Copiar la columna desde la fila 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7</xdr:row>
          <xdr:rowOff>9525</xdr:rowOff>
        </xdr:from>
        <xdr:to>
          <xdr:col>5</xdr:col>
          <xdr:colOff>714375</xdr:colOff>
          <xdr:row>10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RevisarTD(Copiar la columna desde la fila 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10</xdr:row>
          <xdr:rowOff>38100</xdr:rowOff>
        </xdr:from>
        <xdr:to>
          <xdr:col>5</xdr:col>
          <xdr:colOff>714375</xdr:colOff>
          <xdr:row>12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Cierre técnico 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14</xdr:row>
          <xdr:rowOff>180975</xdr:rowOff>
        </xdr:from>
        <xdr:to>
          <xdr:col>8</xdr:col>
          <xdr:colOff>914400</xdr:colOff>
          <xdr:row>17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Consumos del material 1 a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3</xdr:col>
          <xdr:colOff>0</xdr:colOff>
          <xdr:row>11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Modulo Cerv.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0</xdr:rowOff>
        </xdr:from>
        <xdr:to>
          <xdr:col>2</xdr:col>
          <xdr:colOff>314325</xdr:colOff>
          <xdr:row>14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Pedido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15</xdr:row>
          <xdr:rowOff>0</xdr:rowOff>
        </xdr:from>
        <xdr:to>
          <xdr:col>2</xdr:col>
          <xdr:colOff>314325</xdr:colOff>
          <xdr:row>18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18</xdr:row>
          <xdr:rowOff>19050</xdr:rowOff>
        </xdr:from>
        <xdr:to>
          <xdr:col>3</xdr:col>
          <xdr:colOff>0</xdr:colOff>
          <xdr:row>21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Pedido Varios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21</xdr:row>
          <xdr:rowOff>9525</xdr:rowOff>
        </xdr:from>
        <xdr:to>
          <xdr:col>3</xdr:col>
          <xdr:colOff>0</xdr:colOff>
          <xdr:row>23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Variaciones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0</xdr:rowOff>
        </xdr:from>
        <xdr:to>
          <xdr:col>3</xdr:col>
          <xdr:colOff>0</xdr:colOff>
          <xdr:row>26</xdr:row>
          <xdr:rowOff>171450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Justificaciones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1171575</xdr:colOff>
          <xdr:row>18</xdr:row>
          <xdr:rowOff>180975</xdr:rowOff>
        </xdr:from>
        <xdr:to>
          <xdr:col>9</xdr:col>
          <xdr:colOff>9525</xdr:colOff>
          <xdr:row>22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Ordenes de Proceso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180975</xdr:rowOff>
        </xdr:from>
        <xdr:to>
          <xdr:col>9</xdr:col>
          <xdr:colOff>0</xdr:colOff>
          <xdr:row>26</xdr:row>
          <xdr:rowOff>9525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Ordenes de Proceso (COID)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27</xdr:row>
          <xdr:rowOff>0</xdr:rowOff>
        </xdr:from>
        <xdr:to>
          <xdr:col>9</xdr:col>
          <xdr:colOff>9525</xdr:colOff>
          <xdr:row>30</xdr:row>
          <xdr:rowOff>9525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Sec. 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13</xdr:row>
          <xdr:rowOff>0</xdr:rowOff>
        </xdr:from>
        <xdr:to>
          <xdr:col>5</xdr:col>
          <xdr:colOff>714375</xdr:colOff>
          <xdr:row>16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Justificar en masa (Costo)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9525</xdr:rowOff>
        </xdr:from>
        <xdr:to>
          <xdr:col>6</xdr:col>
          <xdr:colOff>0</xdr:colOff>
          <xdr:row>18</xdr:row>
          <xdr:rowOff>152400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Justificar en masa (KG rend.)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</xdr:row>
          <xdr:rowOff>0</xdr:rowOff>
        </xdr:from>
        <xdr:to>
          <xdr:col>6</xdr:col>
          <xdr:colOff>0</xdr:colOff>
          <xdr:row>21</xdr:row>
          <xdr:rowOff>171450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Justificar en masa(reemplazos)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2</xdr:col>
          <xdr:colOff>0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Pedido en masa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9525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COOISPI CN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28575</xdr:rowOff>
        </xdr:from>
        <xdr:to>
          <xdr:col>8</xdr:col>
          <xdr:colOff>9525</xdr:colOff>
          <xdr:row>2</xdr:row>
          <xdr:rowOff>180975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en masa (seleccionar)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152400</xdr:colOff>
          <xdr:row>6</xdr:row>
          <xdr:rowOff>38100</xdr:rowOff>
        </xdr:to>
        <xdr:sp macro="" textlink="">
          <xdr:nvSpPr>
            <xdr:cNvPr id="4099" name="Control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DatosExternos_1" removeDataOnSave="1" connectionId="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Column1" tableColumnId="40"/>
      <queryTableField id="2" name="Column2" tableColumnId="41"/>
      <queryTableField id="3" name="Column3" tableColumnId="42"/>
      <queryTableField id="4" name="Column4" tableColumnId="43"/>
      <queryTableField id="5" name="Column5" tableColumnId="44"/>
      <queryTableField id="6" name="Column6" tableColumnId="45"/>
      <queryTableField id="7" name="Column7" tableColumnId="46"/>
      <queryTableField id="8" name="Column8" tableColumnId="47"/>
      <queryTableField id="9" name="Column9" tableColumnId="48"/>
      <queryTableField id="10" name="Column10" tableColumnId="49"/>
      <queryTableField id="11" name="Column11" tableColumnId="50"/>
      <queryTableField id="12" name="Column12" tableColumnId="51"/>
      <queryTableField id="13" name="Column13" tableColumnId="5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Inventario_Tripas__FilterDatabase" displayName="Inventario_Tripas__FilterDatabase" ref="A1:M9" tableType="queryTable" totalsRowShown="0">
  <autoFilter ref="A1:M9"/>
  <tableColumns count="13">
    <tableColumn id="40" uniqueName="40" name="Column1" queryTableFieldId="1" dataDxfId="13"/>
    <tableColumn id="41" uniqueName="41" name="Column2" queryTableFieldId="2" dataDxfId="12"/>
    <tableColumn id="42" uniqueName="42" name="Column3" queryTableFieldId="3" dataDxfId="11"/>
    <tableColumn id="43" uniqueName="43" name="Column4" queryTableFieldId="4" dataDxfId="10"/>
    <tableColumn id="44" uniqueName="44" name="Column5" queryTableFieldId="5" dataDxfId="9"/>
    <tableColumn id="45" uniqueName="45" name="Column6" queryTableFieldId="6" dataDxfId="8"/>
    <tableColumn id="46" uniqueName="46" name="Column7" queryTableFieldId="7" dataDxfId="7"/>
    <tableColumn id="47" uniqueName="47" name="Column8" queryTableFieldId="8" dataDxfId="6"/>
    <tableColumn id="48" uniqueName="48" name="Column9" queryTableFieldId="9" dataDxfId="5"/>
    <tableColumn id="49" uniqueName="49" name="Column10" queryTableFieldId="10" dataDxfId="4"/>
    <tableColumn id="50" uniqueName="50" name="Column11" queryTableFieldId="11" dataDxfId="3"/>
    <tableColumn id="51" uniqueName="51" name="Column12" queryTableFieldId="12" dataDxfId="2"/>
    <tableColumn id="52" uniqueName="52" name="Column13" queryTableFieldId="13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6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G1:S55"/>
  <sheetViews>
    <sheetView zoomScaleNormal="100" workbookViewId="0">
      <selection activeCell="G14" sqref="G14"/>
    </sheetView>
  </sheetViews>
  <sheetFormatPr baseColWidth="10" defaultRowHeight="15" x14ac:dyDescent="0.25"/>
  <cols>
    <col min="1" max="3" width="4.85546875" customWidth="1"/>
    <col min="4" max="4" width="4.140625" customWidth="1"/>
    <col min="5" max="5" width="9.7109375" customWidth="1"/>
    <col min="6" max="6" width="10.85546875" customWidth="1"/>
    <col min="7" max="7" width="17.7109375" customWidth="1"/>
    <col min="8" max="9" width="13.85546875" customWidth="1"/>
    <col min="10" max="10" width="18.85546875" customWidth="1"/>
    <col min="11" max="11" width="11.5703125" customWidth="1"/>
    <col min="12" max="12" width="10.7109375" customWidth="1"/>
    <col min="13" max="13" width="9.42578125" customWidth="1"/>
    <col min="16" max="16" width="19.28515625" bestFit="1" customWidth="1"/>
    <col min="17" max="19" width="11.85546875" bestFit="1" customWidth="1"/>
  </cols>
  <sheetData>
    <row r="1" spans="7:19" x14ac:dyDescent="0.25">
      <c r="G1" s="9" t="s">
        <v>86</v>
      </c>
      <c r="J1" s="9" t="s">
        <v>1</v>
      </c>
      <c r="K1" s="9" t="s">
        <v>0</v>
      </c>
      <c r="L1" s="10">
        <f ca="1">DAY(TODAY())</f>
        <v>7</v>
      </c>
      <c r="M1" s="10">
        <f ca="1">MONTH(TODAY())</f>
        <v>7</v>
      </c>
      <c r="N1" s="10">
        <f ca="1">YEAR(TODAY())</f>
        <v>2022</v>
      </c>
      <c r="P1" s="2"/>
      <c r="Q1" s="2"/>
      <c r="R1" s="2"/>
    </row>
    <row r="2" spans="7:19" x14ac:dyDescent="0.25">
      <c r="H2" s="2"/>
      <c r="J2" s="10" t="str">
        <f ca="1">CONCATENATE(L2,".",M2,".",N2)</f>
        <v>1.7.2022</v>
      </c>
      <c r="K2" s="10" t="str">
        <f ca="1">CONCATENATE(L1,".",M1,".",N1)</f>
        <v>7.7.2022</v>
      </c>
      <c r="L2" s="10">
        <f>DAY(1)</f>
        <v>1</v>
      </c>
      <c r="M2" s="10">
        <f ca="1">MONTH(TODAY())</f>
        <v>7</v>
      </c>
      <c r="N2" s="10">
        <f ca="1">YEAR(TODAY())</f>
        <v>2022</v>
      </c>
      <c r="P2" s="2"/>
      <c r="Q2" s="2"/>
      <c r="R2" s="2"/>
      <c r="S2" s="1"/>
    </row>
    <row r="3" spans="7:19" x14ac:dyDescent="0.25">
      <c r="J3" s="10"/>
      <c r="K3" s="10"/>
      <c r="L3" s="10"/>
      <c r="M3" s="10"/>
      <c r="N3" s="10"/>
      <c r="P3" s="2"/>
      <c r="Q3" s="2"/>
      <c r="R3" s="1"/>
    </row>
    <row r="4" spans="7:19" x14ac:dyDescent="0.25">
      <c r="J4" s="10"/>
      <c r="K4" s="10"/>
      <c r="L4" s="10"/>
      <c r="M4" s="10"/>
      <c r="N4" s="10"/>
      <c r="P4" s="2"/>
      <c r="Q4" s="2"/>
    </row>
    <row r="5" spans="7:19" x14ac:dyDescent="0.25">
      <c r="J5" s="10"/>
      <c r="K5" s="10"/>
      <c r="L5" s="10"/>
      <c r="M5" s="10"/>
      <c r="N5" s="10"/>
      <c r="P5" s="2"/>
      <c r="Q5" s="2"/>
    </row>
    <row r="6" spans="7:19" x14ac:dyDescent="0.25">
      <c r="J6" s="10"/>
      <c r="K6" s="10"/>
      <c r="L6" s="10"/>
      <c r="M6" s="10"/>
      <c r="N6" s="10"/>
      <c r="P6" s="2"/>
      <c r="Q6" s="2"/>
    </row>
    <row r="7" spans="7:19" x14ac:dyDescent="0.25">
      <c r="J7" s="10"/>
      <c r="K7" s="10"/>
      <c r="L7" s="10"/>
      <c r="M7" s="10"/>
      <c r="N7" s="10"/>
      <c r="P7" s="2"/>
      <c r="Q7" s="2"/>
    </row>
    <row r="8" spans="7:19" x14ac:dyDescent="0.25">
      <c r="J8" s="9" t="s">
        <v>4</v>
      </c>
      <c r="K8" s="9" t="s">
        <v>3</v>
      </c>
      <c r="L8" s="10"/>
      <c r="M8" s="10"/>
      <c r="N8" s="10"/>
    </row>
    <row r="9" spans="7:19" x14ac:dyDescent="0.25">
      <c r="J9">
        <v>14137577</v>
      </c>
      <c r="K9" s="3" t="s">
        <v>89</v>
      </c>
      <c r="L9" s="10"/>
      <c r="M9" s="10"/>
      <c r="N9" s="10"/>
    </row>
    <row r="10" spans="7:19" x14ac:dyDescent="0.25">
      <c r="J10" s="10"/>
      <c r="K10" s="10"/>
      <c r="L10" s="10"/>
      <c r="M10" s="10"/>
      <c r="N10" s="10"/>
      <c r="O10" t="s">
        <v>94</v>
      </c>
      <c r="P10" t="s">
        <v>90</v>
      </c>
      <c r="Q10" s="2" t="s">
        <v>91</v>
      </c>
    </row>
    <row r="11" spans="7:19" x14ac:dyDescent="0.25">
      <c r="J11" s="10"/>
      <c r="K11" s="10"/>
      <c r="L11" s="10"/>
      <c r="M11" s="10"/>
      <c r="N11" s="10"/>
      <c r="O11">
        <v>14174706</v>
      </c>
      <c r="Q11">
        <v>14176702</v>
      </c>
    </row>
    <row r="12" spans="7:19" x14ac:dyDescent="0.25">
      <c r="J12" s="11" t="s">
        <v>5</v>
      </c>
      <c r="K12" s="11" t="s">
        <v>0</v>
      </c>
      <c r="L12" s="9" t="s">
        <v>6</v>
      </c>
      <c r="M12" s="9" t="s">
        <v>3</v>
      </c>
      <c r="N12" s="10"/>
      <c r="Q12">
        <v>14175667</v>
      </c>
    </row>
    <row r="13" spans="7:19" x14ac:dyDescent="0.25">
      <c r="J13" s="3" t="s">
        <v>88</v>
      </c>
      <c r="K13" t="str">
        <f ca="1">CONCATENATE(L1,".",M1,".",N1)</f>
        <v>7.7.2022</v>
      </c>
      <c r="L13" s="16">
        <v>7000580</v>
      </c>
      <c r="M13" s="14">
        <v>7620</v>
      </c>
      <c r="N13" s="10"/>
      <c r="Q13">
        <v>14175672</v>
      </c>
    </row>
    <row r="14" spans="7:19" x14ac:dyDescent="0.25">
      <c r="H14" s="2"/>
      <c r="J14" s="10"/>
      <c r="K14" s="10"/>
      <c r="L14" s="10"/>
      <c r="M14" s="10"/>
      <c r="N14" s="10"/>
      <c r="Q14">
        <v>14175712</v>
      </c>
    </row>
    <row r="15" spans="7:19" x14ac:dyDescent="0.25">
      <c r="J15" s="10"/>
      <c r="K15" s="10"/>
      <c r="L15" s="10"/>
      <c r="M15" s="10"/>
      <c r="N15" s="10"/>
    </row>
    <row r="16" spans="7:19" x14ac:dyDescent="0.25">
      <c r="J16" s="11" t="s">
        <v>82</v>
      </c>
      <c r="K16" s="11" t="s">
        <v>83</v>
      </c>
      <c r="L16" s="11" t="s">
        <v>84</v>
      </c>
      <c r="M16" s="10"/>
      <c r="N16" s="10"/>
    </row>
    <row r="17" spans="10:17" x14ac:dyDescent="0.25">
      <c r="J17" s="12">
        <v>7007135</v>
      </c>
      <c r="K17" s="10" t="s">
        <v>85</v>
      </c>
      <c r="L17" s="10" t="str">
        <f ca="1">CONCATENATE(L1,".",M1,".",N1)</f>
        <v>7.7.2022</v>
      </c>
      <c r="M17" s="10"/>
      <c r="N17" s="10"/>
    </row>
    <row r="21" spans="10:17" x14ac:dyDescent="0.25">
      <c r="J21" t="s">
        <v>92</v>
      </c>
    </row>
    <row r="25" spans="10:17" x14ac:dyDescent="0.25">
      <c r="J25" t="s">
        <v>92</v>
      </c>
    </row>
    <row r="29" spans="10:17" x14ac:dyDescent="0.25">
      <c r="J29" t="s">
        <v>93</v>
      </c>
    </row>
    <row r="32" spans="10:17" x14ac:dyDescent="0.25">
      <c r="Q32" s="2"/>
    </row>
    <row r="33" spans="16:17" x14ac:dyDescent="0.25">
      <c r="Q33" s="2"/>
    </row>
    <row r="34" spans="16:17" x14ac:dyDescent="0.25">
      <c r="Q34" s="2"/>
    </row>
    <row r="35" spans="16:17" x14ac:dyDescent="0.25">
      <c r="Q35" s="2"/>
    </row>
    <row r="36" spans="16:17" x14ac:dyDescent="0.25">
      <c r="Q36" s="2"/>
    </row>
    <row r="37" spans="16:17" x14ac:dyDescent="0.25">
      <c r="Q37" s="2"/>
    </row>
    <row r="38" spans="16:17" x14ac:dyDescent="0.25">
      <c r="Q38" s="2"/>
    </row>
    <row r="39" spans="16:17" x14ac:dyDescent="0.25">
      <c r="Q39" s="2"/>
    </row>
    <row r="40" spans="16:17" x14ac:dyDescent="0.25">
      <c r="Q40" s="2"/>
    </row>
    <row r="41" spans="16:17" x14ac:dyDescent="0.25">
      <c r="Q41" s="2"/>
    </row>
    <row r="42" spans="16:17" x14ac:dyDescent="0.25">
      <c r="P42" s="2"/>
      <c r="Q42" s="2"/>
    </row>
    <row r="43" spans="16:17" x14ac:dyDescent="0.25">
      <c r="P43" s="2"/>
      <c r="Q43" s="2"/>
    </row>
    <row r="44" spans="16:17" x14ac:dyDescent="0.25">
      <c r="P44" s="2"/>
      <c r="Q44" s="2"/>
    </row>
    <row r="45" spans="16:17" x14ac:dyDescent="0.25">
      <c r="P45" s="2"/>
      <c r="Q45" s="2"/>
    </row>
    <row r="46" spans="16:17" x14ac:dyDescent="0.25">
      <c r="P46" s="2"/>
      <c r="Q46" s="2"/>
    </row>
    <row r="47" spans="16:17" x14ac:dyDescent="0.25">
      <c r="P47" s="2"/>
      <c r="Q47" s="2"/>
    </row>
    <row r="48" spans="16:17" x14ac:dyDescent="0.25">
      <c r="P48" s="2"/>
      <c r="Q48" s="2"/>
    </row>
    <row r="49" spans="16:17" x14ac:dyDescent="0.25">
      <c r="P49" s="2"/>
      <c r="Q49" s="2"/>
    </row>
    <row r="50" spans="16:17" x14ac:dyDescent="0.25">
      <c r="P50" s="2"/>
      <c r="Q50" s="2"/>
    </row>
    <row r="51" spans="16:17" x14ac:dyDescent="0.25">
      <c r="P51" s="2"/>
      <c r="Q51" s="2"/>
    </row>
    <row r="52" spans="16:17" x14ac:dyDescent="0.25">
      <c r="P52" s="2"/>
      <c r="Q52" s="2"/>
    </row>
    <row r="53" spans="16:17" x14ac:dyDescent="0.25">
      <c r="P53" s="2"/>
      <c r="Q53" s="2"/>
    </row>
    <row r="54" spans="16:17" x14ac:dyDescent="0.25">
      <c r="P54" s="2"/>
      <c r="Q54" s="2"/>
    </row>
    <row r="55" spans="16:17" x14ac:dyDescent="0.25">
      <c r="P55" s="2"/>
      <c r="Q55" s="2"/>
    </row>
  </sheetData>
  <conditionalFormatting sqref="J9">
    <cfRule type="duplicateValues" dxfId="14" priority="2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mpiar_SAP">
                <anchor moveWithCells="1" sizeWithCells="1">
                  <from>
                    <xdr:col>0</xdr:col>
                    <xdr:colOff>9525</xdr:colOff>
                    <xdr:row>0</xdr:row>
                    <xdr:rowOff>19050</xdr:rowOff>
                  </from>
                  <to>
                    <xdr:col>2</xdr:col>
                    <xdr:colOff>314325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iciar_Sap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314325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brir_COOISPI">
                <anchor moveWithCells="1" sizeWithCells="1">
                  <from>
                    <xdr:col>7</xdr:col>
                    <xdr:colOff>19050</xdr:colOff>
                    <xdr:row>0</xdr:row>
                    <xdr:rowOff>19050</xdr:rowOff>
                  </from>
                  <to>
                    <xdr:col>9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Actualizar_MB52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2</xdr:col>
                    <xdr:colOff>314325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Abrir_COOISPI_CN">
                <anchor moveWithCells="1" sizeWithCells="1">
                  <from>
                    <xdr:col>7</xdr:col>
                    <xdr:colOff>9525</xdr:colOff>
                    <xdr:row>3</xdr:row>
                    <xdr:rowOff>19050</xdr:rowOff>
                  </from>
                  <to>
                    <xdr:col>8</xdr:col>
                    <xdr:colOff>914400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Imprimir_Etiquetas">
                <anchor moveWithCells="1" sizeWithCells="1">
                  <from>
                    <xdr:col>6</xdr:col>
                    <xdr:colOff>1304925</xdr:colOff>
                    <xdr:row>7</xdr:row>
                    <xdr:rowOff>19050</xdr:rowOff>
                  </from>
                  <to>
                    <xdr:col>8</xdr:col>
                    <xdr:colOff>914400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Picking_Manual">
                <anchor moveWithCells="1" sizeWithCells="1">
                  <from>
                    <xdr:col>7</xdr:col>
                    <xdr:colOff>9525</xdr:colOff>
                    <xdr:row>11</xdr:row>
                    <xdr:rowOff>9525</xdr:rowOff>
                  </from>
                  <to>
                    <xdr:col>9</xdr:col>
                    <xdr:colOff>9525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Notificacion_TD_11">
                <anchor moveWithCells="1" sizeWithCells="1">
                  <from>
                    <xdr:col>4</xdr:col>
                    <xdr:colOff>9525</xdr:colOff>
                    <xdr:row>0</xdr:row>
                    <xdr:rowOff>19050</xdr:rowOff>
                  </from>
                  <to>
                    <xdr:col>6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Notificacion_TD_21">
                <anchor moveWithCells="1" sizeWithCells="1">
                  <from>
                    <xdr:col>4</xdr:col>
                    <xdr:colOff>0</xdr:colOff>
                    <xdr:row>3</xdr:row>
                    <xdr:rowOff>28575</xdr:rowOff>
                  </from>
                  <to>
                    <xdr:col>6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Abrir_Revision_TD">
                <anchor moveWithCells="1" siz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5</xdr:col>
                    <xdr:colOff>714375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Cierre_Tecnico_TD">
                <anchor moveWithCells="1" sizeWithCells="1">
                  <from>
                    <xdr:col>4</xdr:col>
                    <xdr:colOff>9525</xdr:colOff>
                    <xdr:row>10</xdr:row>
                    <xdr:rowOff>38100</xdr:rowOff>
                  </from>
                  <to>
                    <xdr:col>5</xdr:col>
                    <xdr:colOff>714375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Consumos_Material">
                <anchor moveWithCells="1" sizeWithCells="1">
                  <from>
                    <xdr:col>7</xdr:col>
                    <xdr:colOff>0</xdr:colOff>
                    <xdr:row>14</xdr:row>
                    <xdr:rowOff>180975</xdr:rowOff>
                  </from>
                  <to>
                    <xdr:col>8</xdr:col>
                    <xdr:colOff>914400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Abir_Modulo_de_tripas_de_cerveceros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3</xdr:col>
                    <xdr:colOff>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Abrir_Pedido">
                <anchor moveWithCells="1" siz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2</xdr:col>
                    <xdr:colOff>314325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Abrir_REC">
                <anchor moveWithCells="1" sizeWithCells="1">
                  <from>
                    <xdr:col>0</xdr:col>
                    <xdr:colOff>9525</xdr:colOff>
                    <xdr:row>15</xdr:row>
                    <xdr:rowOff>0</xdr:rowOff>
                  </from>
                  <to>
                    <xdr:col>2</xdr:col>
                    <xdr:colOff>314325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Abrir_Pedido_Varios">
                <anchor moveWithCells="1" sizeWithCells="1">
                  <from>
                    <xdr:col>0</xdr:col>
                    <xdr:colOff>0</xdr:colOff>
                    <xdr:row>18</xdr:row>
                    <xdr:rowOff>19050</xdr:rowOff>
                  </from>
                  <to>
                    <xdr:col>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Abrir_Variacion">
                <anchor moveWithCells="1" sizeWithCells="1">
                  <from>
                    <xdr:col>0</xdr:col>
                    <xdr:colOff>0</xdr:colOff>
                    <xdr:row>21</xdr:row>
                    <xdr:rowOff>9525</xdr:rowOff>
                  </from>
                  <to>
                    <xdr:col>3</xdr:col>
                    <xdr:colOff>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Abrir_Justificaciones">
                <anchor moveWithCells="1" siz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3</xdr:col>
                    <xdr:colOff>0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2" name="Button 21">
              <controlPr defaultSize="0" print="0" autoFill="0" autoPict="0" macro="[0]!Actualizar_Ordenes_de_Proceso">
                <anchor moveWithCells="1" sizeWithCells="1">
                  <from>
                    <xdr:col>6</xdr:col>
                    <xdr:colOff>1171575</xdr:colOff>
                    <xdr:row>18</xdr:row>
                    <xdr:rowOff>180975</xdr:rowOff>
                  </from>
                  <to>
                    <xdr:col>9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3" name="Button 22">
              <controlPr defaultSize="0" print="0" autoFill="0" autoPict="0" macro="[0]!Actualizar_Ordenes_de_Proceso_2">
                <anchor moveWithCells="1" sizeWithCells="1">
                  <from>
                    <xdr:col>7</xdr:col>
                    <xdr:colOff>0</xdr:colOff>
                    <xdr:row>22</xdr:row>
                    <xdr:rowOff>180975</xdr:rowOff>
                  </from>
                  <to>
                    <xdr:col>9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4" name="Button 23">
              <controlPr defaultSize="0" print="0" autoFill="0" autoPict="0" macro="[0]!Actualizar_COOISPI_TD_Secuencia">
                <anchor moveWithCells="1" siz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9</xdr:col>
                    <xdr:colOff>9525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5" name="Button 24">
              <controlPr defaultSize="0" print="0" autoFill="0" autoPict="0" macro="[0]!Justificacion_en_masa_Costo">
                <anchor moveWithCells="1" sizeWithCells="1">
                  <from>
                    <xdr:col>3</xdr:col>
                    <xdr:colOff>266700</xdr:colOff>
                    <xdr:row>13</xdr:row>
                    <xdr:rowOff>0</xdr:rowOff>
                  </from>
                  <to>
                    <xdr:col>5</xdr:col>
                    <xdr:colOff>714375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6" name="Button 25">
              <controlPr defaultSize="0" print="0" autoFill="0" autoPict="0" macro="[0]!Justificacion_en_masa_KG">
                <anchor moveWithCells="1" sizeWithCells="1">
                  <from>
                    <xdr:col>4</xdr:col>
                    <xdr:colOff>0</xdr:colOff>
                    <xdr:row>16</xdr:row>
                    <xdr:rowOff>9525</xdr:rowOff>
                  </from>
                  <to>
                    <xdr:col>6</xdr:col>
                    <xdr:colOff>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7" name="Button 26">
              <controlPr defaultSize="0" print="0" autoFill="0" autoPict="0" macro="[0]!Justificacion_en_masa_Costowooo">
                <anchor moveWithCells="1" siz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M26"/>
  <sheetViews>
    <sheetView topLeftCell="C1" workbookViewId="0">
      <selection activeCell="K12" sqref="K12"/>
    </sheetView>
  </sheetViews>
  <sheetFormatPr baseColWidth="10" defaultRowHeight="15" x14ac:dyDescent="0.25"/>
  <cols>
    <col min="1" max="1" width="11.140625" bestFit="1" customWidth="1"/>
    <col min="2" max="2" width="23.42578125" bestFit="1" customWidth="1"/>
    <col min="3" max="3" width="25.42578125" bestFit="1" customWidth="1"/>
    <col min="4" max="4" width="34.140625" customWidth="1"/>
    <col min="5" max="5" width="11.140625" bestFit="1" customWidth="1"/>
    <col min="6" max="6" width="18.28515625" bestFit="1" customWidth="1"/>
    <col min="7" max="9" width="11.140625" bestFit="1" customWidth="1"/>
    <col min="10" max="10" width="27.140625" bestFit="1" customWidth="1"/>
    <col min="11" max="11" width="12.85546875" bestFit="1" customWidth="1"/>
    <col min="12" max="12" width="21" bestFit="1" customWidth="1"/>
    <col min="13" max="13" width="18" bestFit="1" customWidth="1"/>
  </cols>
  <sheetData>
    <row r="1" spans="1:13" x14ac:dyDescent="0.25">
      <c r="A1" s="7" t="s">
        <v>7</v>
      </c>
      <c r="B1" s="8" t="s">
        <v>8</v>
      </c>
      <c r="C1" s="8" t="s">
        <v>9</v>
      </c>
      <c r="D1" s="8" t="s">
        <v>10</v>
      </c>
      <c r="E1" s="8" t="s">
        <v>11</v>
      </c>
      <c r="F1" s="8" t="s">
        <v>12</v>
      </c>
      <c r="G1" s="8" t="s">
        <v>13</v>
      </c>
      <c r="H1" s="8" t="s">
        <v>14</v>
      </c>
      <c r="I1" s="8" t="s">
        <v>15</v>
      </c>
      <c r="J1" s="8" t="s">
        <v>16</v>
      </c>
      <c r="K1" s="8" t="s">
        <v>17</v>
      </c>
      <c r="L1" s="8" t="s">
        <v>18</v>
      </c>
      <c r="M1" s="8" t="s">
        <v>19</v>
      </c>
    </row>
    <row r="2" spans="1:13" x14ac:dyDescent="0.25">
      <c r="A2" s="8" t="s">
        <v>20</v>
      </c>
      <c r="B2" s="8" t="s">
        <v>21</v>
      </c>
      <c r="C2" s="8" t="s">
        <v>22</v>
      </c>
      <c r="D2" s="8" t="s">
        <v>23</v>
      </c>
      <c r="E2" s="8" t="s">
        <v>24</v>
      </c>
      <c r="F2" s="8" t="s">
        <v>25</v>
      </c>
      <c r="G2" s="8" t="s">
        <v>26</v>
      </c>
      <c r="H2" s="8" t="s">
        <v>27</v>
      </c>
      <c r="I2" s="8" t="s">
        <v>28</v>
      </c>
      <c r="J2" s="8" t="s">
        <v>29</v>
      </c>
      <c r="K2" s="8" t="s">
        <v>30</v>
      </c>
      <c r="L2" s="8" t="s">
        <v>31</v>
      </c>
      <c r="M2" s="8" t="s">
        <v>32</v>
      </c>
    </row>
    <row r="3" spans="1:13" x14ac:dyDescent="0.25">
      <c r="A3" s="8" t="s">
        <v>33</v>
      </c>
      <c r="B3" s="8" t="s">
        <v>34</v>
      </c>
      <c r="C3" s="8" t="s">
        <v>35</v>
      </c>
      <c r="D3" s="8" t="s">
        <v>36</v>
      </c>
      <c r="E3" s="8" t="s">
        <v>37</v>
      </c>
      <c r="F3" s="8" t="s">
        <v>38</v>
      </c>
      <c r="G3" s="8" t="s">
        <v>39</v>
      </c>
      <c r="H3" s="8" t="s">
        <v>40</v>
      </c>
      <c r="I3" s="8" t="s">
        <v>41</v>
      </c>
      <c r="J3" s="8"/>
      <c r="K3" s="8"/>
      <c r="L3" s="8" t="s">
        <v>36</v>
      </c>
      <c r="M3" s="8" t="s">
        <v>42</v>
      </c>
    </row>
    <row r="4" spans="1:13" x14ac:dyDescent="0.25">
      <c r="A4" s="8" t="s">
        <v>43</v>
      </c>
      <c r="B4" s="8" t="s">
        <v>44</v>
      </c>
      <c r="C4" s="8" t="s">
        <v>45</v>
      </c>
      <c r="D4" s="8" t="s">
        <v>36</v>
      </c>
      <c r="E4" s="8" t="s">
        <v>46</v>
      </c>
      <c r="F4" s="8" t="s">
        <v>47</v>
      </c>
      <c r="G4" s="8" t="s">
        <v>48</v>
      </c>
      <c r="H4" s="8" t="s">
        <v>40</v>
      </c>
      <c r="I4" s="8" t="s">
        <v>41</v>
      </c>
      <c r="J4" s="8"/>
      <c r="K4" s="8"/>
      <c r="L4" s="8" t="s">
        <v>36</v>
      </c>
      <c r="M4" s="8" t="s">
        <v>49</v>
      </c>
    </row>
    <row r="5" spans="1:13" x14ac:dyDescent="0.25">
      <c r="A5" s="8" t="s">
        <v>50</v>
      </c>
      <c r="B5" s="8" t="s">
        <v>51</v>
      </c>
      <c r="C5" s="8" t="s">
        <v>52</v>
      </c>
      <c r="D5" s="8" t="s">
        <v>53</v>
      </c>
      <c r="E5" s="8" t="s">
        <v>46</v>
      </c>
      <c r="F5" s="8" t="s">
        <v>54</v>
      </c>
      <c r="G5" s="8" t="s">
        <v>55</v>
      </c>
      <c r="H5" s="8" t="s">
        <v>40</v>
      </c>
      <c r="I5" s="8" t="s">
        <v>41</v>
      </c>
      <c r="J5" s="8"/>
      <c r="K5" s="8"/>
      <c r="L5" s="8" t="s">
        <v>53</v>
      </c>
      <c r="M5" s="8" t="s">
        <v>56</v>
      </c>
    </row>
    <row r="6" spans="1:13" x14ac:dyDescent="0.25">
      <c r="A6" s="8" t="s">
        <v>57</v>
      </c>
      <c r="B6" s="8" t="s">
        <v>58</v>
      </c>
      <c r="C6" s="8" t="s">
        <v>59</v>
      </c>
      <c r="D6" s="8" t="s">
        <v>41</v>
      </c>
      <c r="E6" s="8" t="s">
        <v>60</v>
      </c>
      <c r="F6" s="8" t="s">
        <v>61</v>
      </c>
      <c r="G6" s="8" t="s">
        <v>62</v>
      </c>
      <c r="H6" s="8" t="s">
        <v>40</v>
      </c>
      <c r="I6" s="8" t="s">
        <v>41</v>
      </c>
      <c r="J6" s="8"/>
      <c r="K6" s="8"/>
      <c r="L6" s="8"/>
      <c r="M6" s="8" t="s">
        <v>41</v>
      </c>
    </row>
    <row r="7" spans="1:13" x14ac:dyDescent="0.25">
      <c r="A7" s="8" t="s">
        <v>63</v>
      </c>
      <c r="B7" s="8" t="s">
        <v>64</v>
      </c>
      <c r="C7" s="8" t="s">
        <v>65</v>
      </c>
      <c r="D7" s="8" t="s">
        <v>66</v>
      </c>
      <c r="E7" s="8" t="s">
        <v>46</v>
      </c>
      <c r="F7" s="8" t="s">
        <v>67</v>
      </c>
      <c r="G7" s="8" t="s">
        <v>68</v>
      </c>
      <c r="H7" s="8" t="s">
        <v>40</v>
      </c>
      <c r="I7" s="8" t="s">
        <v>41</v>
      </c>
      <c r="J7" s="8"/>
      <c r="K7" s="8"/>
      <c r="L7" s="8" t="s">
        <v>66</v>
      </c>
      <c r="M7" s="8" t="s">
        <v>69</v>
      </c>
    </row>
    <row r="8" spans="1:13" x14ac:dyDescent="0.25">
      <c r="A8" s="8" t="s">
        <v>70</v>
      </c>
      <c r="B8" s="8" t="s">
        <v>71</v>
      </c>
      <c r="C8" s="8" t="s">
        <v>72</v>
      </c>
      <c r="D8" s="8" t="s">
        <v>73</v>
      </c>
      <c r="E8" s="8" t="s">
        <v>74</v>
      </c>
      <c r="F8" s="8" t="s">
        <v>75</v>
      </c>
      <c r="G8" s="8" t="s">
        <v>76</v>
      </c>
      <c r="H8" s="8" t="s">
        <v>40</v>
      </c>
      <c r="I8" s="8" t="s">
        <v>41</v>
      </c>
      <c r="J8" s="8"/>
      <c r="K8" s="8"/>
      <c r="L8" s="8" t="s">
        <v>73</v>
      </c>
      <c r="M8" s="8" t="s">
        <v>77</v>
      </c>
    </row>
    <row r="9" spans="1:13" x14ac:dyDescent="0.25">
      <c r="A9" s="8"/>
      <c r="B9" s="8"/>
      <c r="C9" s="8"/>
      <c r="D9" s="8" t="s">
        <v>78</v>
      </c>
      <c r="E9" s="8" t="s">
        <v>79</v>
      </c>
      <c r="F9" s="8" t="s">
        <v>80</v>
      </c>
      <c r="G9" s="8" t="s">
        <v>81</v>
      </c>
      <c r="H9" s="8" t="s">
        <v>78</v>
      </c>
      <c r="I9" s="8" t="s">
        <v>41</v>
      </c>
      <c r="J9" s="8"/>
      <c r="K9" s="8"/>
      <c r="L9" s="8"/>
      <c r="M9" s="8" t="s">
        <v>41</v>
      </c>
    </row>
    <row r="13" spans="1:13" x14ac:dyDescent="0.25">
      <c r="C13">
        <v>7001271</v>
      </c>
      <c r="D13" t="s">
        <v>95</v>
      </c>
      <c r="E13" s="13">
        <v>33147</v>
      </c>
    </row>
    <row r="14" spans="1:13" x14ac:dyDescent="0.25">
      <c r="C14">
        <v>7001222</v>
      </c>
      <c r="D14" t="s">
        <v>96</v>
      </c>
      <c r="E14" s="17">
        <v>13802.66</v>
      </c>
      <c r="J14">
        <v>2</v>
      </c>
    </row>
    <row r="15" spans="1:13" x14ac:dyDescent="0.25">
      <c r="C15">
        <v>7000587</v>
      </c>
      <c r="D15" t="s">
        <v>97</v>
      </c>
      <c r="E15" s="13">
        <v>36195</v>
      </c>
    </row>
    <row r="16" spans="1:13" x14ac:dyDescent="0.25">
      <c r="C16">
        <v>7000580</v>
      </c>
      <c r="D16" t="s">
        <v>98</v>
      </c>
      <c r="E16" s="17">
        <v>53187.6</v>
      </c>
    </row>
    <row r="17" spans="3:5" x14ac:dyDescent="0.25">
      <c r="C17">
        <v>7000575</v>
      </c>
      <c r="D17" t="s">
        <v>99</v>
      </c>
      <c r="E17" s="13">
        <v>11517</v>
      </c>
    </row>
    <row r="18" spans="3:5" x14ac:dyDescent="0.25">
      <c r="C18">
        <v>7000574</v>
      </c>
      <c r="D18" t="s">
        <v>100</v>
      </c>
      <c r="E18" s="17">
        <v>15222.62</v>
      </c>
    </row>
    <row r="19" spans="3:5" x14ac:dyDescent="0.25">
      <c r="C19">
        <v>7007586</v>
      </c>
      <c r="D19" t="s">
        <v>101</v>
      </c>
      <c r="E19" s="17">
        <v>22666.28</v>
      </c>
    </row>
    <row r="20" spans="3:5" x14ac:dyDescent="0.25">
      <c r="C20">
        <v>7004745</v>
      </c>
      <c r="D20" t="s">
        <v>102</v>
      </c>
      <c r="E20" s="13">
        <v>47677</v>
      </c>
    </row>
    <row r="21" spans="3:5" x14ac:dyDescent="0.25">
      <c r="C21">
        <v>7007925</v>
      </c>
      <c r="D21" t="s">
        <v>103</v>
      </c>
      <c r="E21" s="17">
        <v>91211.4</v>
      </c>
    </row>
    <row r="22" spans="3:5" x14ac:dyDescent="0.25">
      <c r="C22">
        <v>7001766</v>
      </c>
      <c r="D22" t="s">
        <v>104</v>
      </c>
      <c r="E22" s="17">
        <v>5562.6</v>
      </c>
    </row>
    <row r="23" spans="3:5" x14ac:dyDescent="0.25">
      <c r="C23">
        <v>7000613</v>
      </c>
      <c r="D23" t="s">
        <v>105</v>
      </c>
      <c r="E23" s="17">
        <v>21221.7</v>
      </c>
    </row>
    <row r="24" spans="3:5" x14ac:dyDescent="0.25">
      <c r="C24">
        <v>7007631</v>
      </c>
      <c r="D24" t="s">
        <v>106</v>
      </c>
      <c r="E24" s="17">
        <v>38820.92</v>
      </c>
    </row>
    <row r="25" spans="3:5" x14ac:dyDescent="0.25">
      <c r="C25">
        <v>7002790</v>
      </c>
      <c r="D25" t="s">
        <v>107</v>
      </c>
      <c r="E25" s="17">
        <v>15963.9</v>
      </c>
    </row>
    <row r="26" spans="3:5" x14ac:dyDescent="0.25">
      <c r="C26">
        <v>7003019</v>
      </c>
      <c r="D26" t="s">
        <v>108</v>
      </c>
      <c r="E26" s="17">
        <v>38595.300000000003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C1:F2"/>
  <sheetViews>
    <sheetView workbookViewId="0">
      <selection activeCell="I23" sqref="I23"/>
    </sheetView>
  </sheetViews>
  <sheetFormatPr baseColWidth="10" defaultRowHeight="15" x14ac:dyDescent="0.25"/>
  <cols>
    <col min="3" max="3" width="14.28515625" bestFit="1" customWidth="1"/>
  </cols>
  <sheetData>
    <row r="1" spans="3:6" x14ac:dyDescent="0.25">
      <c r="C1" s="6" t="s">
        <v>5</v>
      </c>
      <c r="D1" s="6" t="s">
        <v>0</v>
      </c>
      <c r="E1" s="5" t="s">
        <v>6</v>
      </c>
      <c r="F1" s="5" t="s">
        <v>3</v>
      </c>
    </row>
    <row r="2" spans="3:6" x14ac:dyDescent="0.25">
      <c r="C2" s="2"/>
      <c r="D2" s="2" t="s">
        <v>2</v>
      </c>
      <c r="E2" s="4">
        <v>7000227</v>
      </c>
      <c r="F2">
        <v>7500</v>
      </c>
    </row>
  </sheetData>
  <conditionalFormatting sqref="E2">
    <cfRule type="duplicateValues" dxfId="0" priority="1" stopIfTrue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icking_Manual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2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C1:N33"/>
  <sheetViews>
    <sheetView tabSelected="1" topLeftCell="C1" workbookViewId="0">
      <selection activeCell="K9" sqref="K9"/>
    </sheetView>
  </sheetViews>
  <sheetFormatPr baseColWidth="10" defaultRowHeight="15" x14ac:dyDescent="0.25"/>
  <cols>
    <col min="11" max="11" width="40" bestFit="1" customWidth="1"/>
    <col min="14" max="14" width="40" bestFit="1" customWidth="1"/>
  </cols>
  <sheetData>
    <row r="1" spans="3:11" x14ac:dyDescent="0.25">
      <c r="C1" s="9" t="s">
        <v>0</v>
      </c>
      <c r="D1" s="10">
        <f ca="1">DAY(TODAY())+1</f>
        <v>8</v>
      </c>
      <c r="E1" s="10">
        <f ca="1">MONTH(TODAY())</f>
        <v>7</v>
      </c>
      <c r="F1" s="10">
        <f ca="1">YEAR(TODAY())</f>
        <v>2022</v>
      </c>
      <c r="I1" s="5" t="s">
        <v>87</v>
      </c>
      <c r="J1" s="5" t="s">
        <v>3</v>
      </c>
      <c r="K1" s="13"/>
    </row>
    <row r="2" spans="3:11" x14ac:dyDescent="0.25">
      <c r="C2" s="10" t="str">
        <f ca="1">CONCATENATE(D1,".",E1,".",F1)</f>
        <v>8.7.2022</v>
      </c>
      <c r="D2" s="10"/>
      <c r="E2" s="10"/>
      <c r="F2" s="10"/>
    </row>
    <row r="6" spans="3:11" x14ac:dyDescent="0.25">
      <c r="C6" s="15"/>
      <c r="D6" s="15"/>
    </row>
    <row r="9" spans="3:11" x14ac:dyDescent="0.25">
      <c r="F9" s="15"/>
    </row>
    <row r="17" spans="11:14" x14ac:dyDescent="0.25">
      <c r="L17">
        <v>14183192</v>
      </c>
      <c r="M17">
        <v>119</v>
      </c>
      <c r="N17" t="s">
        <v>109</v>
      </c>
    </row>
    <row r="18" spans="11:14" x14ac:dyDescent="0.25">
      <c r="L18">
        <v>14183204</v>
      </c>
      <c r="M18">
        <v>240</v>
      </c>
      <c r="N18" t="s">
        <v>110</v>
      </c>
    </row>
    <row r="19" spans="11:14" x14ac:dyDescent="0.25">
      <c r="L19">
        <v>14183219</v>
      </c>
      <c r="M19" s="13">
        <v>830</v>
      </c>
      <c r="N19" t="s">
        <v>113</v>
      </c>
    </row>
    <row r="20" spans="11:14" x14ac:dyDescent="0.25">
      <c r="L20">
        <v>14183228</v>
      </c>
      <c r="M20">
        <v>411</v>
      </c>
      <c r="N20" t="s">
        <v>118</v>
      </c>
    </row>
    <row r="21" spans="11:14" x14ac:dyDescent="0.25">
      <c r="L21">
        <v>14183236</v>
      </c>
      <c r="M21">
        <v>960</v>
      </c>
      <c r="N21" t="s">
        <v>111</v>
      </c>
    </row>
    <row r="22" spans="11:14" x14ac:dyDescent="0.25">
      <c r="L22">
        <v>14183240</v>
      </c>
      <c r="M22">
        <v>85</v>
      </c>
      <c r="N22" t="s">
        <v>112</v>
      </c>
    </row>
    <row r="23" spans="11:14" x14ac:dyDescent="0.25">
      <c r="L23">
        <v>14183244</v>
      </c>
      <c r="M23">
        <v>103</v>
      </c>
      <c r="N23" t="s">
        <v>114</v>
      </c>
    </row>
    <row r="28" spans="11:14" x14ac:dyDescent="0.25">
      <c r="K28" s="13"/>
      <c r="L28">
        <v>14183303</v>
      </c>
      <c r="M28">
        <v>302</v>
      </c>
      <c r="N28" t="s">
        <v>119</v>
      </c>
    </row>
    <row r="29" spans="11:14" x14ac:dyDescent="0.25">
      <c r="K29" s="13"/>
      <c r="L29">
        <v>14183305</v>
      </c>
      <c r="M29">
        <v>79</v>
      </c>
      <c r="N29" t="s">
        <v>115</v>
      </c>
    </row>
    <row r="30" spans="11:14" x14ac:dyDescent="0.25">
      <c r="L30">
        <v>14183307</v>
      </c>
      <c r="M30">
        <v>76</v>
      </c>
      <c r="N30" t="s">
        <v>120</v>
      </c>
    </row>
    <row r="31" spans="11:14" x14ac:dyDescent="0.25">
      <c r="L31">
        <v>14183309</v>
      </c>
      <c r="M31">
        <v>365</v>
      </c>
      <c r="N31" t="s">
        <v>116</v>
      </c>
    </row>
    <row r="32" spans="11:14" x14ac:dyDescent="0.25">
      <c r="L32">
        <v>14184042</v>
      </c>
      <c r="M32">
        <v>325</v>
      </c>
      <c r="N32" t="s">
        <v>121</v>
      </c>
    </row>
    <row r="33" spans="12:14" x14ac:dyDescent="0.25">
      <c r="L33">
        <v>14184043</v>
      </c>
      <c r="M33">
        <v>242</v>
      </c>
      <c r="N33" t="s">
        <v>117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ntrol 3">
          <controlPr defaultSize="0" r:id="rId5">
            <anchor mov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152400</xdr:colOff>
                <xdr:row>6</xdr:row>
                <xdr:rowOff>38100</xdr:rowOff>
              </to>
            </anchor>
          </controlPr>
        </control>
      </mc:Choice>
      <mc:Fallback>
        <control shapeId="4099" r:id="rId4" name="Control 3"/>
      </mc:Fallback>
    </mc:AlternateContent>
    <mc:AlternateContent xmlns:mc="http://schemas.openxmlformats.org/markup-compatibility/2006">
      <mc:Choice Requires="x14">
        <control shapeId="4097" r:id="rId6" name="Button 1">
          <controlPr defaultSize="0" print="0" autoFill="0" autoPict="0" macro="[0]!Abrir_Cooispi_CN_Sticker">
            <anchor moveWithCells="1" sizeWithCells="1">
              <from>
                <xdr:col>0</xdr:col>
                <xdr:colOff>28575</xdr:colOff>
                <xdr:row>0</xdr:row>
                <xdr:rowOff>9525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8" r:id="rId7" name="Button 2">
          <controlPr defaultSize="0" print="0" autoFill="0" autoPict="0" macro="[0]!Impresion_En_Masa">
            <anchor moveWithCells="1" sizeWithCells="1">
              <from>
                <xdr:col>6</xdr:col>
                <xdr:colOff>9525</xdr:colOff>
                <xdr:row>0</xdr:row>
                <xdr:rowOff>28575</xdr:rowOff>
              </from>
              <to>
                <xdr:col>8</xdr:col>
                <xdr:colOff>9525</xdr:colOff>
                <xdr:row>2</xdr:row>
                <xdr:rowOff>180975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C8BA62-3F0E-4191-ADA1-C985C2EECE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TG</vt:lpstr>
      <vt:lpstr>Hoja2</vt:lpstr>
      <vt:lpstr>PQ</vt:lpstr>
      <vt:lpstr>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Zamir Alejandro Pineda Gallego</dc:creator>
  <cp:lastModifiedBy>Jhon Freddy Alfonso Puin</cp:lastModifiedBy>
  <cp:lastPrinted>2022-07-05T10:21:50Z</cp:lastPrinted>
  <dcterms:created xsi:type="dcterms:W3CDTF">2022-03-28T17:36:46Z</dcterms:created>
  <dcterms:modified xsi:type="dcterms:W3CDTF">2022-07-08T03:24:15Z</dcterms:modified>
</cp:coreProperties>
</file>